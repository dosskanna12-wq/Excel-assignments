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taset" sheetId="2" r:id="rId6"/>
    <sheet state="visible" name="result" sheetId="3" r:id="rId7"/>
  </sheets>
  <definedNames/>
  <calcPr/>
</workbook>
</file>

<file path=xl/sharedStrings.xml><?xml version="1.0" encoding="utf-8"?>
<sst xmlns="http://schemas.openxmlformats.org/spreadsheetml/2006/main" count="319" uniqueCount="121">
  <si>
    <t>Perform the following in the dataset from the 'Dataset' sheet.</t>
  </si>
  <si>
    <t>Product ID</t>
  </si>
  <si>
    <t>1) Sum, Count, Average:</t>
  </si>
  <si>
    <t>Product Name</t>
  </si>
  <si>
    <t>Brand Name</t>
  </si>
  <si>
    <t>Price ($)</t>
  </si>
  <si>
    <t>• What is the total price of all products in the dataset?</t>
  </si>
  <si>
    <t>Quantity</t>
  </si>
  <si>
    <t>Category</t>
  </si>
  <si>
    <t>• How many products are there in the dataset?</t>
  </si>
  <si>
    <t>High Price</t>
  </si>
  <si>
    <t>• Calculate the average price of the products.</t>
  </si>
  <si>
    <t>Day</t>
  </si>
  <si>
    <t>2) Min and Max:</t>
  </si>
  <si>
    <t>Country code</t>
  </si>
  <si>
    <t>• Determine the minimum price among all products.</t>
  </si>
  <si>
    <t>month</t>
  </si>
  <si>
    <t>28-JAN-US</t>
  </si>
  <si>
    <t>Laptop</t>
  </si>
  <si>
    <t>Dell</t>
  </si>
  <si>
    <t>Electronics</t>
  </si>
  <si>
    <t>• Find the maximum price among all products.</t>
  </si>
  <si>
    <t>3) IF Function:</t>
  </si>
  <si>
    <t>15-FEB-US</t>
  </si>
  <si>
    <t>• Using an IF function, create a new column named Price Range to categorize products with a price greater than or equal to $500 as 'High Price' and others as 'Standard Price'.  =IF(D2&gt;=500, "High Price", "Standard Price")</t>
  </si>
  <si>
    <t>4) SUMIF and COUNTIF:</t>
  </si>
  <si>
    <t>Sneakers</t>
  </si>
  <si>
    <t>Nike</t>
  </si>
  <si>
    <t>• Calculate the total price for products in the 'Electronics' category using the SUMIF function.  =SUMIF(F2:F35, "Electronics", D2:D35)</t>
  </si>
  <si>
    <t>Fashion</t>
  </si>
  <si>
    <t>• Determine the count of products with a price less than $100 using the COUNTIF function. =COUNTIF(D2:D35, "&lt;100")</t>
  </si>
  <si>
    <t>03-MAR-US</t>
  </si>
  <si>
    <t>Coffee Maker</t>
  </si>
  <si>
    <t>Keurig</t>
  </si>
  <si>
    <t>Kitchen</t>
  </si>
  <si>
    <t>11-APR-US</t>
  </si>
  <si>
    <t>5) Text Formatting - LEFT, RIGHT, MID:</t>
  </si>
  <si>
    <t>Smartphone</t>
  </si>
  <si>
    <t>Samsung</t>
  </si>
  <si>
    <t>• Create a new column named Day with the first 2 characters of each 'Product ID' using the LEFT function.</t>
  </si>
  <si>
    <t>22-MAY-US</t>
  </si>
  <si>
    <t>Backpack</t>
  </si>
  <si>
    <t>North Face</t>
  </si>
  <si>
    <t>• Create a new column named Country Code by extracting the last 2 characters from the 'Product ID' column using the RIGHT function.</t>
  </si>
  <si>
    <t>Outdoor</t>
  </si>
  <si>
    <t>• Create a new column named Month by extracting 4th to 6th characters from the 'Product ID' column using the MID function.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</si>
  <si>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</si>
  <si>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</si>
  <si>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</si>
  <si>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</si>
  <si>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</si>
  <si>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</si>
  <si>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</si>
  <si>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</si>
  <si>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</si>
  <si>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</si>
  <si>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</si>
  <si>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</si>
  <si>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</si>
  <si>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</si>
  <si>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</si>
  <si>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</si>
  <si>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</si>
  <si>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</si>
  <si>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</si>
  <si>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</si>
  <si>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</si>
  <si>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</si>
  <si>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</si>
  <si>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</si>
  <si>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</si>
  <si>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</si>
  <si>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</si>
  <si>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</si>
  <si>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</si>
  <si>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</si>
  <si>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</si>
  <si>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</si>
  <si>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</si>
  <si>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</si>
  <si>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</si>
  <si>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</si>
  <si>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</si>
  <si>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</si>
  <si>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</si>
  <si>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</si>
  <si>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</si>
  <si>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</si>
  <si>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</si>
  <si>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</si>
  <si>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</si>
  <si>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</si>
  <si>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</si>
  <si>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</si>
  <si>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</si>
  <si>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</si>
  <si>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</si>
  <si>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</si>
  <si>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 xml:space="preserve"> total price of all products </t>
  </si>
  <si>
    <t>11-JUL-CA</t>
  </si>
  <si>
    <t>Vitamix</t>
  </si>
  <si>
    <t>No of products are there in the dataset</t>
  </si>
  <si>
    <t>Calculate the average price of the products.</t>
  </si>
  <si>
    <t>07-MAR-CA</t>
  </si>
  <si>
    <t>Dress</t>
  </si>
  <si>
    <t>Zara</t>
  </si>
  <si>
    <t>13-APR-CA</t>
  </si>
  <si>
    <t>Toaster</t>
  </si>
  <si>
    <t>Hamilton</t>
  </si>
  <si>
    <t xml:space="preserve"> maximum price among all products.</t>
  </si>
  <si>
    <t>24-MAY-CA</t>
  </si>
  <si>
    <t>Garmin</t>
  </si>
  <si>
    <t xml:space="preserve"> minimum price among all products.</t>
  </si>
  <si>
    <t>02-DEC-CA</t>
  </si>
  <si>
    <t>Jeans</t>
  </si>
  <si>
    <t>Levi's</t>
  </si>
  <si>
    <t>products with a price less than $100</t>
  </si>
  <si>
    <t>09-JUL-FR</t>
  </si>
  <si>
    <t>Watch</t>
  </si>
  <si>
    <t>Casio</t>
  </si>
  <si>
    <t>Electronics Catogary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</si>
</sst>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000000"/>
      <name val="Arimo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2" numFmtId="0" xfId="0" applyAlignment="1" applyBorder="1" applyFill="1" applyFont="1">
      <alignment horizontal="center"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8" numFmtId="3" xfId="0" applyFont="1" applyNumberFormat="1"/>
    <xf borderId="1" fillId="3" fontId="7" numFmtId="0" xfId="0" applyBorder="1" applyFill="1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5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B3" s="3" t="s">
        <v>2</v>
      </c>
    </row>
    <row r="4" ht="15.75" customHeight="1">
      <c r="B4" s="3"/>
      <c r="C4" s="4" t="s">
        <v>6</v>
      </c>
    </row>
    <row r="5" ht="15.75" customHeight="1">
      <c r="B5" s="3"/>
      <c r="C5" s="4" t="s">
        <v>9</v>
      </c>
    </row>
    <row r="6" ht="15.75" customHeight="1">
      <c r="B6" s="3"/>
      <c r="C6" s="4" t="s">
        <v>11</v>
      </c>
    </row>
    <row r="7" ht="15.75" customHeight="1">
      <c r="B7" s="5"/>
    </row>
    <row r="8" ht="15.75" customHeight="1">
      <c r="B8" s="3" t="s">
        <v>13</v>
      </c>
    </row>
    <row r="9" ht="15.75" customHeight="1">
      <c r="C9" s="4" t="s">
        <v>15</v>
      </c>
      <c r="G9" s="7"/>
    </row>
    <row r="10" ht="15.75" customHeight="1">
      <c r="C10" s="4" t="s">
        <v>21</v>
      </c>
      <c r="G10" s="10"/>
    </row>
    <row r="11" ht="15.75" customHeight="1">
      <c r="B11" s="5"/>
    </row>
    <row r="12" ht="15.75" customHeight="1">
      <c r="B12" s="3" t="s">
        <v>22</v>
      </c>
    </row>
    <row r="13" ht="15.75" customHeight="1">
      <c r="C13" s="4" t="s">
        <v>24</v>
      </c>
    </row>
    <row r="14" ht="15.75" customHeight="1">
      <c r="B14" s="5"/>
    </row>
    <row r="15" ht="15.75" customHeight="1">
      <c r="B15" s="3" t="s">
        <v>25</v>
      </c>
    </row>
    <row r="16" ht="15.75" customHeight="1">
      <c r="C16" s="4" t="s">
        <v>28</v>
      </c>
    </row>
    <row r="17" ht="15.75" customHeight="1">
      <c r="C17" s="4" t="s">
        <v>30</v>
      </c>
    </row>
    <row r="18" ht="15.75" customHeight="1">
      <c r="B18" s="5"/>
    </row>
    <row r="19" ht="15.75" customHeight="1">
      <c r="B19" s="3" t="s">
        <v>36</v>
      </c>
    </row>
    <row r="20" ht="15.75" customHeight="1">
      <c r="C20" s="4" t="s">
        <v>39</v>
      </c>
    </row>
    <row r="21" ht="15.75" customHeight="1">
      <c r="C21" s="4" t="s">
        <v>43</v>
      </c>
    </row>
    <row r="22" ht="15.75" customHeight="1">
      <c r="C22" s="4" t="s">
        <v>45</v>
      </c>
    </row>
    <row r="23" ht="15.75" customHeight="1">
      <c r="B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6" width="12.63"/>
    <col customWidth="1" min="11" max="11" width="30.63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/>
      <c r="H1" s="6"/>
      <c r="I1" s="2"/>
      <c r="J1" s="6"/>
    </row>
    <row r="2" ht="15.75" customHeight="1">
      <c r="A2" s="8" t="s">
        <v>17</v>
      </c>
      <c r="B2" s="8" t="s">
        <v>18</v>
      </c>
      <c r="C2" s="8" t="s">
        <v>19</v>
      </c>
      <c r="D2" s="8">
        <v>1000.0</v>
      </c>
      <c r="E2" s="8">
        <v>30.0</v>
      </c>
      <c r="F2" s="8" t="s">
        <v>20</v>
      </c>
      <c r="G2" s="9"/>
      <c r="H2" s="9"/>
      <c r="I2" s="9"/>
    </row>
    <row r="3" ht="15.75" customHeight="1">
      <c r="A3" s="11" t="s">
        <v>23</v>
      </c>
      <c r="B3" s="11" t="s">
        <v>26</v>
      </c>
      <c r="C3" s="11" t="s">
        <v>27</v>
      </c>
      <c r="D3" s="11">
        <v>80.0</v>
      </c>
      <c r="E3" s="11">
        <v>15.0</v>
      </c>
      <c r="F3" s="11" t="s">
        <v>29</v>
      </c>
      <c r="G3" s="9"/>
      <c r="H3" s="9"/>
      <c r="I3" s="9"/>
    </row>
    <row r="4" ht="15.75" customHeight="1">
      <c r="A4" s="8" t="s">
        <v>31</v>
      </c>
      <c r="B4" s="8" t="s">
        <v>32</v>
      </c>
      <c r="C4" s="8" t="s">
        <v>33</v>
      </c>
      <c r="D4" s="8">
        <v>130.0</v>
      </c>
      <c r="E4" s="8">
        <v>40.0</v>
      </c>
      <c r="F4" s="8" t="s">
        <v>34</v>
      </c>
      <c r="G4" s="9"/>
      <c r="H4" s="9"/>
      <c r="I4" s="9"/>
    </row>
    <row r="5" ht="15.75" customHeight="1">
      <c r="A5" s="11" t="s">
        <v>35</v>
      </c>
      <c r="B5" s="11" t="s">
        <v>37</v>
      </c>
      <c r="C5" s="11" t="s">
        <v>38</v>
      </c>
      <c r="D5" s="11">
        <v>900.0</v>
      </c>
      <c r="E5" s="11">
        <v>25.0</v>
      </c>
      <c r="F5" s="11" t="s">
        <v>20</v>
      </c>
      <c r="G5" s="9"/>
      <c r="H5" s="9"/>
      <c r="I5" s="9"/>
    </row>
    <row r="6" ht="15.75" customHeight="1">
      <c r="A6" s="8" t="s">
        <v>40</v>
      </c>
      <c r="B6" s="8" t="s">
        <v>41</v>
      </c>
      <c r="C6" s="8" t="s">
        <v>42</v>
      </c>
      <c r="D6" s="8">
        <v>70.0</v>
      </c>
      <c r="E6" s="8">
        <v>20.0</v>
      </c>
      <c r="F6" s="8" t="s">
        <v>44</v>
      </c>
      <c r="G6" s="9"/>
      <c r="H6" s="9"/>
      <c r="I6" s="9"/>
    </row>
    <row r="7" ht="15.75" customHeight="1">
      <c r="A7" s="11" t="s">
        <v>46</v>
      </c>
      <c r="B7" s="11" t="s">
        <v>47</v>
      </c>
      <c r="C7" s="11" t="s">
        <v>48</v>
      </c>
      <c r="D7" s="11">
        <v>200.0</v>
      </c>
      <c r="E7" s="11">
        <v>45.0</v>
      </c>
      <c r="F7" s="11" t="s">
        <v>20</v>
      </c>
      <c r="G7" s="9"/>
      <c r="H7" s="9"/>
      <c r="I7" s="9"/>
    </row>
    <row r="8" ht="15.75" customHeight="1">
      <c r="A8" s="8" t="s">
        <v>49</v>
      </c>
      <c r="B8" s="8" t="s">
        <v>50</v>
      </c>
      <c r="C8" s="8" t="s">
        <v>51</v>
      </c>
      <c r="D8" s="8">
        <v>30.0</v>
      </c>
      <c r="E8" s="8">
        <v>5.0</v>
      </c>
      <c r="F8" s="8" t="s">
        <v>29</v>
      </c>
      <c r="G8" s="9"/>
      <c r="H8" s="9"/>
      <c r="I8" s="9"/>
    </row>
    <row r="9" ht="15.75" customHeight="1">
      <c r="A9" s="11" t="s">
        <v>52</v>
      </c>
      <c r="B9" s="11" t="s">
        <v>53</v>
      </c>
      <c r="C9" s="11" t="s">
        <v>54</v>
      </c>
      <c r="D9" s="11">
        <v>90.0</v>
      </c>
      <c r="E9" s="11">
        <v>35.0</v>
      </c>
      <c r="F9" s="11" t="s">
        <v>34</v>
      </c>
      <c r="G9" s="9"/>
      <c r="H9" s="9"/>
      <c r="I9" s="9"/>
    </row>
    <row r="10" ht="15.75" customHeight="1">
      <c r="A10" s="8" t="s">
        <v>55</v>
      </c>
      <c r="B10" s="8" t="s">
        <v>56</v>
      </c>
      <c r="C10" s="8" t="s">
        <v>57</v>
      </c>
      <c r="D10" s="8">
        <v>500.0</v>
      </c>
      <c r="E10" s="8">
        <v>50.0</v>
      </c>
      <c r="F10" s="8" t="s">
        <v>20</v>
      </c>
      <c r="G10" s="9"/>
      <c r="H10" s="9"/>
      <c r="I10" s="9"/>
    </row>
    <row r="11" ht="15.75" customHeight="1">
      <c r="A11" s="11" t="s">
        <v>58</v>
      </c>
      <c r="B11" s="11" t="s">
        <v>59</v>
      </c>
      <c r="C11" s="11" t="s">
        <v>60</v>
      </c>
      <c r="D11" s="11">
        <v>130.0</v>
      </c>
      <c r="E11" s="11">
        <v>10.0</v>
      </c>
      <c r="F11" s="11" t="s">
        <v>44</v>
      </c>
      <c r="G11" s="9"/>
      <c r="H11" s="9"/>
      <c r="I11" s="9"/>
    </row>
    <row r="12" ht="15.75" customHeight="1">
      <c r="A12" s="8" t="s">
        <v>61</v>
      </c>
      <c r="B12" s="8" t="s">
        <v>18</v>
      </c>
      <c r="C12" s="8" t="s">
        <v>62</v>
      </c>
      <c r="D12" s="8">
        <v>950.0</v>
      </c>
      <c r="E12" s="8">
        <v>25.0</v>
      </c>
      <c r="F12" s="8" t="s">
        <v>20</v>
      </c>
      <c r="G12" s="9"/>
      <c r="H12" s="9"/>
      <c r="I12" s="9"/>
    </row>
    <row r="13" ht="15.75" customHeight="1">
      <c r="A13" s="11" t="s">
        <v>63</v>
      </c>
      <c r="B13" s="11" t="s">
        <v>26</v>
      </c>
      <c r="C13" s="11" t="s">
        <v>51</v>
      </c>
      <c r="D13" s="11">
        <v>90.0</v>
      </c>
      <c r="E13" s="11">
        <v>40.0</v>
      </c>
      <c r="F13" s="11" t="s">
        <v>29</v>
      </c>
      <c r="G13" s="9"/>
      <c r="H13" s="9"/>
      <c r="I13" s="9"/>
    </row>
    <row r="14" ht="15.75" customHeight="1">
      <c r="A14" s="8" t="s">
        <v>64</v>
      </c>
      <c r="B14" s="8" t="s">
        <v>32</v>
      </c>
      <c r="C14" s="8" t="s">
        <v>65</v>
      </c>
      <c r="D14" s="8">
        <v>120.0</v>
      </c>
      <c r="E14" s="8">
        <v>35.0</v>
      </c>
      <c r="F14" s="8" t="s">
        <v>34</v>
      </c>
      <c r="G14" s="9"/>
      <c r="H14" s="9"/>
      <c r="I14" s="9"/>
    </row>
    <row r="15" ht="15.75" customHeight="1">
      <c r="A15" s="11" t="s">
        <v>66</v>
      </c>
      <c r="B15" s="11" t="s">
        <v>67</v>
      </c>
      <c r="C15" s="11" t="s">
        <v>68</v>
      </c>
      <c r="D15" s="11">
        <v>150.0</v>
      </c>
      <c r="E15" s="11">
        <v>15.0</v>
      </c>
      <c r="F15" s="11" t="s">
        <v>20</v>
      </c>
      <c r="G15" s="9"/>
      <c r="H15" s="9"/>
      <c r="I15" s="9"/>
    </row>
    <row r="16" ht="15.75" customHeight="1">
      <c r="A16" s="8" t="s">
        <v>69</v>
      </c>
      <c r="B16" s="8" t="s">
        <v>47</v>
      </c>
      <c r="C16" s="8" t="s">
        <v>70</v>
      </c>
      <c r="D16" s="8">
        <v>250.0</v>
      </c>
      <c r="E16" s="8">
        <v>20.0</v>
      </c>
      <c r="F16" s="8" t="s">
        <v>20</v>
      </c>
      <c r="G16" s="9"/>
      <c r="H16" s="9"/>
      <c r="I16" s="9"/>
    </row>
    <row r="17" ht="15.75" customHeight="1">
      <c r="A17" s="11" t="s">
        <v>71</v>
      </c>
      <c r="B17" s="11" t="s">
        <v>72</v>
      </c>
      <c r="C17" s="11" t="s">
        <v>73</v>
      </c>
      <c r="D17" s="11">
        <v>50.0</v>
      </c>
      <c r="E17" s="11">
        <v>35.0</v>
      </c>
      <c r="F17" s="11" t="s">
        <v>74</v>
      </c>
      <c r="G17" s="9"/>
      <c r="H17" s="9"/>
      <c r="I17" s="9"/>
    </row>
    <row r="18" ht="15.75" customHeight="1">
      <c r="A18" s="8" t="s">
        <v>75</v>
      </c>
      <c r="B18" s="8" t="s">
        <v>67</v>
      </c>
      <c r="C18" s="8" t="s">
        <v>76</v>
      </c>
      <c r="D18" s="8">
        <v>160.0</v>
      </c>
      <c r="E18" s="8">
        <v>15.0</v>
      </c>
      <c r="F18" s="8" t="s">
        <v>20</v>
      </c>
      <c r="G18" s="9"/>
      <c r="H18" s="9"/>
      <c r="I18" s="9"/>
    </row>
    <row r="19" ht="15.75" customHeight="1">
      <c r="A19" s="11" t="s">
        <v>77</v>
      </c>
      <c r="B19" s="11" t="s">
        <v>18</v>
      </c>
      <c r="C19" s="11" t="s">
        <v>78</v>
      </c>
      <c r="D19" s="11">
        <v>980.0</v>
      </c>
      <c r="E19" s="11">
        <v>10.0</v>
      </c>
      <c r="F19" s="11" t="s">
        <v>20</v>
      </c>
      <c r="G19" s="9"/>
      <c r="H19" s="9"/>
      <c r="I19" s="9"/>
    </row>
    <row r="20" ht="15.75" customHeight="1">
      <c r="A20" s="8" t="s">
        <v>79</v>
      </c>
      <c r="B20" s="8" t="s">
        <v>80</v>
      </c>
      <c r="C20" s="8" t="s">
        <v>81</v>
      </c>
      <c r="D20" s="8">
        <v>150.0</v>
      </c>
      <c r="E20" s="8">
        <v>15.0</v>
      </c>
      <c r="F20" s="8" t="s">
        <v>29</v>
      </c>
      <c r="G20" s="9"/>
      <c r="H20" s="9"/>
      <c r="I20" s="9"/>
    </row>
    <row r="21" ht="15.75" customHeight="1">
      <c r="A21" s="11" t="s">
        <v>82</v>
      </c>
      <c r="B21" s="11" t="s">
        <v>83</v>
      </c>
      <c r="C21" s="11" t="s">
        <v>84</v>
      </c>
      <c r="D21" s="11">
        <v>200.0</v>
      </c>
      <c r="E21" s="11">
        <v>10.0</v>
      </c>
      <c r="F21" s="11" t="s">
        <v>44</v>
      </c>
      <c r="G21" s="9"/>
      <c r="H21" s="9"/>
      <c r="I21" s="9"/>
    </row>
    <row r="22" ht="15.75" customHeight="1">
      <c r="A22" s="8" t="s">
        <v>85</v>
      </c>
      <c r="B22" s="8" t="s">
        <v>86</v>
      </c>
      <c r="C22" s="8" t="s">
        <v>87</v>
      </c>
      <c r="D22" s="8">
        <v>700.0</v>
      </c>
      <c r="E22" s="8">
        <v>50.0</v>
      </c>
      <c r="F22" s="8" t="s">
        <v>20</v>
      </c>
      <c r="G22" s="9"/>
      <c r="H22" s="9"/>
      <c r="I22" s="9"/>
    </row>
    <row r="23" ht="15.75" customHeight="1">
      <c r="A23" s="11" t="s">
        <v>88</v>
      </c>
      <c r="B23" s="11" t="s">
        <v>89</v>
      </c>
      <c r="C23" s="11" t="s">
        <v>90</v>
      </c>
      <c r="D23" s="11">
        <v>80.0</v>
      </c>
      <c r="E23" s="11">
        <v>20.0</v>
      </c>
      <c r="F23" s="11" t="s">
        <v>34</v>
      </c>
      <c r="G23" s="9"/>
      <c r="H23" s="9"/>
      <c r="I23" s="9"/>
    </row>
    <row r="24" ht="15.75" customHeight="1">
      <c r="A24" s="8" t="s">
        <v>91</v>
      </c>
      <c r="B24" s="8" t="s">
        <v>92</v>
      </c>
      <c r="C24" s="8" t="s">
        <v>93</v>
      </c>
      <c r="D24" s="8">
        <v>150.0</v>
      </c>
      <c r="E24" s="8">
        <v>30.0</v>
      </c>
      <c r="F24" s="8" t="s">
        <v>20</v>
      </c>
      <c r="G24" s="9"/>
      <c r="H24" s="9"/>
      <c r="I24" s="9"/>
    </row>
    <row r="25" ht="15.75" customHeight="1">
      <c r="A25" s="11" t="s">
        <v>71</v>
      </c>
      <c r="B25" s="11" t="s">
        <v>72</v>
      </c>
      <c r="C25" s="11" t="s">
        <v>73</v>
      </c>
      <c r="D25" s="11">
        <v>50.0</v>
      </c>
      <c r="E25" s="11">
        <v>35.0</v>
      </c>
      <c r="F25" s="11" t="s">
        <v>74</v>
      </c>
      <c r="G25" s="9"/>
      <c r="H25" s="9"/>
      <c r="I25" s="9"/>
    </row>
    <row r="26" ht="15.75" customHeight="1">
      <c r="A26" s="8" t="s">
        <v>94</v>
      </c>
      <c r="B26" s="8" t="s">
        <v>37</v>
      </c>
      <c r="C26" s="8" t="s">
        <v>95</v>
      </c>
      <c r="D26" s="8">
        <v>800.0</v>
      </c>
      <c r="E26" s="8">
        <v>45.0</v>
      </c>
      <c r="F26" s="8" t="s">
        <v>20</v>
      </c>
      <c r="G26" s="9"/>
      <c r="H26" s="9"/>
      <c r="I26" s="9"/>
    </row>
    <row r="27" ht="15.75" customHeight="1">
      <c r="A27" s="11" t="s">
        <v>96</v>
      </c>
      <c r="B27" s="11" t="s">
        <v>80</v>
      </c>
      <c r="C27" s="11" t="s">
        <v>97</v>
      </c>
      <c r="D27" s="11">
        <v>130.0</v>
      </c>
      <c r="E27" s="11">
        <v>25.0</v>
      </c>
      <c r="F27" s="11" t="s">
        <v>29</v>
      </c>
      <c r="G27" s="9"/>
      <c r="H27" s="9"/>
      <c r="I27" s="9"/>
      <c r="K27" s="12" t="s">
        <v>98</v>
      </c>
      <c r="L27" s="13">
        <f>SUM(D2:D35)</f>
        <v>10100</v>
      </c>
    </row>
    <row r="28" ht="15.75" customHeight="1">
      <c r="A28" s="8" t="s">
        <v>99</v>
      </c>
      <c r="B28" s="8" t="s">
        <v>53</v>
      </c>
      <c r="C28" s="8" t="s">
        <v>100</v>
      </c>
      <c r="D28" s="8">
        <v>400.0</v>
      </c>
      <c r="E28" s="8">
        <v>40.0</v>
      </c>
      <c r="F28" s="8" t="s">
        <v>34</v>
      </c>
      <c r="G28" s="9"/>
      <c r="H28" s="9"/>
      <c r="I28" s="9"/>
      <c r="K28" s="13" t="s">
        <v>101</v>
      </c>
      <c r="L28" s="13">
        <f>COUNTA(B2:B35)</f>
        <v>34</v>
      </c>
    </row>
    <row r="29" ht="15.75" customHeight="1">
      <c r="A29" s="11" t="s">
        <v>69</v>
      </c>
      <c r="B29" s="11" t="s">
        <v>47</v>
      </c>
      <c r="C29" s="11" t="s">
        <v>70</v>
      </c>
      <c r="D29" s="11">
        <v>230.0</v>
      </c>
      <c r="E29" s="11">
        <v>20.0</v>
      </c>
      <c r="F29" s="11" t="s">
        <v>20</v>
      </c>
      <c r="G29" s="9"/>
      <c r="H29" s="9"/>
      <c r="I29" s="9"/>
      <c r="K29" s="9" t="s">
        <v>102</v>
      </c>
      <c r="L29" s="13">
        <f>AVERAGE(D2:D35)</f>
        <v>297.0588235</v>
      </c>
    </row>
    <row r="30" ht="15.75" customHeight="1">
      <c r="A30" s="8" t="s">
        <v>103</v>
      </c>
      <c r="B30" s="8" t="s">
        <v>104</v>
      </c>
      <c r="C30" s="8" t="s">
        <v>105</v>
      </c>
      <c r="D30" s="8">
        <v>60.0</v>
      </c>
      <c r="E30" s="8">
        <v>30.0</v>
      </c>
      <c r="F30" s="8" t="s">
        <v>29</v>
      </c>
      <c r="G30" s="9"/>
      <c r="H30" s="9"/>
      <c r="I30" s="9"/>
    </row>
    <row r="31" ht="15.75" customHeight="1">
      <c r="A31" s="11" t="s">
        <v>106</v>
      </c>
      <c r="B31" s="11" t="s">
        <v>107</v>
      </c>
      <c r="C31" s="11" t="s">
        <v>108</v>
      </c>
      <c r="D31" s="11">
        <v>40.0</v>
      </c>
      <c r="E31" s="11">
        <v>10.0</v>
      </c>
      <c r="F31" s="11" t="s">
        <v>34</v>
      </c>
      <c r="G31" s="9"/>
      <c r="H31" s="9"/>
      <c r="I31" s="9"/>
      <c r="K31" s="12" t="s">
        <v>109</v>
      </c>
      <c r="L31" s="13">
        <f>MAX(D2:D35)</f>
        <v>1000</v>
      </c>
    </row>
    <row r="32" ht="15.75" customHeight="1">
      <c r="A32" s="8" t="s">
        <v>110</v>
      </c>
      <c r="B32" s="8" t="s">
        <v>92</v>
      </c>
      <c r="C32" s="8" t="s">
        <v>111</v>
      </c>
      <c r="D32" s="8">
        <v>130.0</v>
      </c>
      <c r="E32" s="8">
        <v>5.0</v>
      </c>
      <c r="F32" s="8" t="s">
        <v>20</v>
      </c>
      <c r="G32" s="9"/>
      <c r="H32" s="9"/>
      <c r="I32" s="9"/>
      <c r="K32" s="12" t="s">
        <v>112</v>
      </c>
      <c r="L32" s="13">
        <f>MIN(D2:D35)</f>
        <v>30</v>
      </c>
    </row>
    <row r="33" ht="15.75" customHeight="1">
      <c r="A33" s="11" t="s">
        <v>113</v>
      </c>
      <c r="B33" s="11" t="s">
        <v>114</v>
      </c>
      <c r="C33" s="11" t="s">
        <v>115</v>
      </c>
      <c r="D33" s="11">
        <v>50.0</v>
      </c>
      <c r="E33" s="11">
        <v>50.0</v>
      </c>
      <c r="F33" s="11" t="s">
        <v>29</v>
      </c>
      <c r="G33" s="9"/>
      <c r="H33" s="9"/>
      <c r="I33" s="9"/>
    </row>
    <row r="34" ht="15.75" customHeight="1">
      <c r="A34" s="8" t="s">
        <v>61</v>
      </c>
      <c r="B34" s="8" t="s">
        <v>18</v>
      </c>
      <c r="C34" s="8" t="s">
        <v>62</v>
      </c>
      <c r="D34" s="8">
        <v>950.0</v>
      </c>
      <c r="E34" s="8">
        <v>25.0</v>
      </c>
      <c r="F34" s="8" t="s">
        <v>20</v>
      </c>
      <c r="G34" s="9"/>
      <c r="H34" s="9"/>
      <c r="I34" s="9"/>
      <c r="K34" s="12" t="s">
        <v>116</v>
      </c>
      <c r="L34" s="9">
        <f>COUNTIF(D2:D35, "&lt;100")</f>
        <v>11</v>
      </c>
    </row>
    <row r="35" ht="15.75" customHeight="1">
      <c r="A35" s="11" t="s">
        <v>117</v>
      </c>
      <c r="B35" s="11" t="s">
        <v>118</v>
      </c>
      <c r="C35" s="11" t="s">
        <v>119</v>
      </c>
      <c r="D35" s="11">
        <v>100.0</v>
      </c>
      <c r="E35" s="11">
        <v>20.0</v>
      </c>
      <c r="F35" s="11" t="s">
        <v>74</v>
      </c>
      <c r="G35" s="9"/>
      <c r="H35" s="9"/>
      <c r="I35" s="9"/>
      <c r="K35" s="9" t="s">
        <v>120</v>
      </c>
      <c r="L35" s="9">
        <f>SUMIF(F2:F35, "Electronics", D2:D35)</f>
        <v>8050</v>
      </c>
    </row>
    <row r="36" ht="15.75" customHeight="1">
      <c r="G36" s="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10</v>
      </c>
      <c r="H1" s="6" t="s">
        <v>12</v>
      </c>
      <c r="I1" s="2" t="s">
        <v>14</v>
      </c>
      <c r="J1" s="6" t="s">
        <v>16</v>
      </c>
    </row>
    <row r="2">
      <c r="A2" s="8" t="s">
        <v>17</v>
      </c>
      <c r="B2" s="8" t="s">
        <v>18</v>
      </c>
      <c r="C2" s="8" t="s">
        <v>19</v>
      </c>
      <c r="D2" s="8">
        <v>1000.0</v>
      </c>
      <c r="E2" s="8">
        <v>30.0</v>
      </c>
      <c r="F2" s="8" t="s">
        <v>20</v>
      </c>
      <c r="G2" s="9" t="str">
        <f t="shared" ref="G2:G35" si="1">IF(D2&gt;=500, "High Price", "Standard Price")</f>
        <v>High Price</v>
      </c>
      <c r="H2" s="9" t="str">
        <f t="shared" ref="H2:H35" si="2">LEFT(A2, 2)</f>
        <v>28</v>
      </c>
      <c r="I2" s="9" t="str">
        <f t="shared" ref="I2:I35" si="3">RIGHT(A2, 2)</f>
        <v>US</v>
      </c>
      <c r="J2" s="12" t="str">
        <f t="shared" ref="J2:J35" si="4">MID(A2, 4, 3)</f>
        <v>JAN</v>
      </c>
    </row>
    <row r="3">
      <c r="A3" s="11" t="s">
        <v>23</v>
      </c>
      <c r="B3" s="11" t="s">
        <v>26</v>
      </c>
      <c r="C3" s="11" t="s">
        <v>27</v>
      </c>
      <c r="D3" s="11">
        <v>80.0</v>
      </c>
      <c r="E3" s="11">
        <v>15.0</v>
      </c>
      <c r="F3" s="11" t="s">
        <v>29</v>
      </c>
      <c r="G3" s="9" t="str">
        <f t="shared" si="1"/>
        <v>Standard Price</v>
      </c>
      <c r="H3" s="9" t="str">
        <f t="shared" si="2"/>
        <v>15</v>
      </c>
      <c r="I3" s="9" t="str">
        <f t="shared" si="3"/>
        <v>US</v>
      </c>
      <c r="J3" s="12" t="str">
        <f t="shared" si="4"/>
        <v>FEB</v>
      </c>
    </row>
    <row r="4">
      <c r="A4" s="8" t="s">
        <v>31</v>
      </c>
      <c r="B4" s="8" t="s">
        <v>32</v>
      </c>
      <c r="C4" s="8" t="s">
        <v>33</v>
      </c>
      <c r="D4" s="8">
        <v>130.0</v>
      </c>
      <c r="E4" s="8">
        <v>40.0</v>
      </c>
      <c r="F4" s="8" t="s">
        <v>34</v>
      </c>
      <c r="G4" s="9" t="str">
        <f t="shared" si="1"/>
        <v>Standard Price</v>
      </c>
      <c r="H4" s="9" t="str">
        <f t="shared" si="2"/>
        <v>03</v>
      </c>
      <c r="I4" s="9" t="str">
        <f t="shared" si="3"/>
        <v>US</v>
      </c>
      <c r="J4" s="12" t="str">
        <f t="shared" si="4"/>
        <v>MAR</v>
      </c>
    </row>
    <row r="5">
      <c r="A5" s="11" t="s">
        <v>35</v>
      </c>
      <c r="B5" s="11" t="s">
        <v>37</v>
      </c>
      <c r="C5" s="11" t="s">
        <v>38</v>
      </c>
      <c r="D5" s="11">
        <v>900.0</v>
      </c>
      <c r="E5" s="11">
        <v>25.0</v>
      </c>
      <c r="F5" s="11" t="s">
        <v>20</v>
      </c>
      <c r="G5" s="9" t="str">
        <f t="shared" si="1"/>
        <v>High Price</v>
      </c>
      <c r="H5" s="9" t="str">
        <f t="shared" si="2"/>
        <v>11</v>
      </c>
      <c r="I5" s="9" t="str">
        <f t="shared" si="3"/>
        <v>US</v>
      </c>
      <c r="J5" s="12" t="str">
        <f t="shared" si="4"/>
        <v>APR</v>
      </c>
    </row>
    <row r="6">
      <c r="A6" s="8" t="s">
        <v>40</v>
      </c>
      <c r="B6" s="8" t="s">
        <v>41</v>
      </c>
      <c r="C6" s="8" t="s">
        <v>42</v>
      </c>
      <c r="D6" s="8">
        <v>70.0</v>
      </c>
      <c r="E6" s="8">
        <v>20.0</v>
      </c>
      <c r="F6" s="8" t="s">
        <v>44</v>
      </c>
      <c r="G6" s="9" t="str">
        <f t="shared" si="1"/>
        <v>Standard Price</v>
      </c>
      <c r="H6" s="9" t="str">
        <f t="shared" si="2"/>
        <v>22</v>
      </c>
      <c r="I6" s="9" t="str">
        <f t="shared" si="3"/>
        <v>US</v>
      </c>
      <c r="J6" s="12" t="str">
        <f t="shared" si="4"/>
        <v>MAY</v>
      </c>
    </row>
    <row r="7">
      <c r="A7" s="11" t="s">
        <v>46</v>
      </c>
      <c r="B7" s="11" t="s">
        <v>47</v>
      </c>
      <c r="C7" s="11" t="s">
        <v>48</v>
      </c>
      <c r="D7" s="11">
        <v>200.0</v>
      </c>
      <c r="E7" s="11">
        <v>45.0</v>
      </c>
      <c r="F7" s="11" t="s">
        <v>20</v>
      </c>
      <c r="G7" s="9" t="str">
        <f t="shared" si="1"/>
        <v>Standard Price</v>
      </c>
      <c r="H7" s="9" t="str">
        <f t="shared" si="2"/>
        <v>07</v>
      </c>
      <c r="I7" s="9" t="str">
        <f t="shared" si="3"/>
        <v>UK</v>
      </c>
      <c r="J7" s="12" t="str">
        <f t="shared" si="4"/>
        <v>JUN</v>
      </c>
    </row>
    <row r="8">
      <c r="A8" s="8" t="s">
        <v>49</v>
      </c>
      <c r="B8" s="8" t="s">
        <v>50</v>
      </c>
      <c r="C8" s="8" t="s">
        <v>51</v>
      </c>
      <c r="D8" s="8">
        <v>30.0</v>
      </c>
      <c r="E8" s="8">
        <v>5.0</v>
      </c>
      <c r="F8" s="8" t="s">
        <v>29</v>
      </c>
      <c r="G8" s="9" t="str">
        <f t="shared" si="1"/>
        <v>Standard Price</v>
      </c>
      <c r="H8" s="9" t="str">
        <f t="shared" si="2"/>
        <v>19</v>
      </c>
      <c r="I8" s="9" t="str">
        <f t="shared" si="3"/>
        <v>UK</v>
      </c>
      <c r="J8" s="12" t="str">
        <f t="shared" si="4"/>
        <v>JUL</v>
      </c>
    </row>
    <row r="9">
      <c r="A9" s="11" t="s">
        <v>52</v>
      </c>
      <c r="B9" s="11" t="s">
        <v>53</v>
      </c>
      <c r="C9" s="11" t="s">
        <v>54</v>
      </c>
      <c r="D9" s="11">
        <v>90.0</v>
      </c>
      <c r="E9" s="11">
        <v>35.0</v>
      </c>
      <c r="F9" s="11" t="s">
        <v>34</v>
      </c>
      <c r="G9" s="9" t="str">
        <f t="shared" si="1"/>
        <v>Standard Price</v>
      </c>
      <c r="H9" s="9" t="str">
        <f t="shared" si="2"/>
        <v>23</v>
      </c>
      <c r="I9" s="9" t="str">
        <f t="shared" si="3"/>
        <v>UK</v>
      </c>
      <c r="J9" s="12" t="str">
        <f t="shared" si="4"/>
        <v>AUG</v>
      </c>
    </row>
    <row r="10">
      <c r="A10" s="8" t="s">
        <v>55</v>
      </c>
      <c r="B10" s="8" t="s">
        <v>56</v>
      </c>
      <c r="C10" s="8" t="s">
        <v>57</v>
      </c>
      <c r="D10" s="8">
        <v>500.0</v>
      </c>
      <c r="E10" s="8">
        <v>50.0</v>
      </c>
      <c r="F10" s="8" t="s">
        <v>20</v>
      </c>
      <c r="G10" s="9" t="str">
        <f t="shared" si="1"/>
        <v>High Price</v>
      </c>
      <c r="H10" s="9" t="str">
        <f t="shared" si="2"/>
        <v>05</v>
      </c>
      <c r="I10" s="9" t="str">
        <f t="shared" si="3"/>
        <v>UK</v>
      </c>
      <c r="J10" s="12" t="str">
        <f t="shared" si="4"/>
        <v>SEP</v>
      </c>
    </row>
    <row r="11">
      <c r="A11" s="11" t="s">
        <v>58</v>
      </c>
      <c r="B11" s="11" t="s">
        <v>59</v>
      </c>
      <c r="C11" s="11" t="s">
        <v>60</v>
      </c>
      <c r="D11" s="11">
        <v>130.0</v>
      </c>
      <c r="E11" s="11">
        <v>10.0</v>
      </c>
      <c r="F11" s="11" t="s">
        <v>44</v>
      </c>
      <c r="G11" s="9" t="str">
        <f t="shared" si="1"/>
        <v>Standard Price</v>
      </c>
      <c r="H11" s="9" t="str">
        <f t="shared" si="2"/>
        <v>14</v>
      </c>
      <c r="I11" s="9" t="str">
        <f t="shared" si="3"/>
        <v>UK</v>
      </c>
      <c r="J11" s="12" t="str">
        <f t="shared" si="4"/>
        <v>OCT</v>
      </c>
    </row>
    <row r="12">
      <c r="A12" s="8" t="s">
        <v>61</v>
      </c>
      <c r="B12" s="8" t="s">
        <v>18</v>
      </c>
      <c r="C12" s="8" t="s">
        <v>62</v>
      </c>
      <c r="D12" s="8">
        <v>950.0</v>
      </c>
      <c r="E12" s="8">
        <v>25.0</v>
      </c>
      <c r="F12" s="8" t="s">
        <v>20</v>
      </c>
      <c r="G12" s="9" t="str">
        <f t="shared" si="1"/>
        <v>High Price</v>
      </c>
      <c r="H12" s="9" t="str">
        <f t="shared" si="2"/>
        <v>17</v>
      </c>
      <c r="I12" s="9" t="str">
        <f t="shared" si="3"/>
        <v>IN</v>
      </c>
      <c r="J12" s="12" t="str">
        <f t="shared" si="4"/>
        <v>JUN</v>
      </c>
    </row>
    <row r="13">
      <c r="A13" s="11" t="s">
        <v>63</v>
      </c>
      <c r="B13" s="11" t="s">
        <v>26</v>
      </c>
      <c r="C13" s="11" t="s">
        <v>51</v>
      </c>
      <c r="D13" s="11">
        <v>90.0</v>
      </c>
      <c r="E13" s="11">
        <v>40.0</v>
      </c>
      <c r="F13" s="11" t="s">
        <v>29</v>
      </c>
      <c r="G13" s="9" t="str">
        <f t="shared" si="1"/>
        <v>Standard Price</v>
      </c>
      <c r="H13" s="9" t="str">
        <f t="shared" si="2"/>
        <v>25</v>
      </c>
      <c r="I13" s="9" t="str">
        <f t="shared" si="3"/>
        <v>AU</v>
      </c>
      <c r="J13" s="12" t="str">
        <f t="shared" si="4"/>
        <v>NOV</v>
      </c>
    </row>
    <row r="14">
      <c r="A14" s="8" t="s">
        <v>64</v>
      </c>
      <c r="B14" s="8" t="s">
        <v>32</v>
      </c>
      <c r="C14" s="8" t="s">
        <v>65</v>
      </c>
      <c r="D14" s="8">
        <v>120.0</v>
      </c>
      <c r="E14" s="8">
        <v>35.0</v>
      </c>
      <c r="F14" s="8" t="s">
        <v>34</v>
      </c>
      <c r="G14" s="9" t="str">
        <f t="shared" si="1"/>
        <v>Standard Price</v>
      </c>
      <c r="H14" s="9" t="str">
        <f t="shared" si="2"/>
        <v>08</v>
      </c>
      <c r="I14" s="9" t="str">
        <f t="shared" si="3"/>
        <v>DE</v>
      </c>
      <c r="J14" s="12" t="str">
        <f t="shared" si="4"/>
        <v>DEC</v>
      </c>
    </row>
    <row r="15">
      <c r="A15" s="11" t="s">
        <v>66</v>
      </c>
      <c r="B15" s="11" t="s">
        <v>67</v>
      </c>
      <c r="C15" s="11" t="s">
        <v>68</v>
      </c>
      <c r="D15" s="11">
        <v>150.0</v>
      </c>
      <c r="E15" s="11">
        <v>15.0</v>
      </c>
      <c r="F15" s="11" t="s">
        <v>20</v>
      </c>
      <c r="G15" s="9" t="str">
        <f t="shared" si="1"/>
        <v>Standard Price</v>
      </c>
      <c r="H15" s="9" t="str">
        <f t="shared" si="2"/>
        <v>18</v>
      </c>
      <c r="I15" s="9" t="str">
        <f t="shared" si="3"/>
        <v>CA</v>
      </c>
      <c r="J15" s="12" t="str">
        <f t="shared" si="4"/>
        <v>FEB</v>
      </c>
    </row>
    <row r="16">
      <c r="A16" s="8" t="s">
        <v>69</v>
      </c>
      <c r="B16" s="8" t="s">
        <v>47</v>
      </c>
      <c r="C16" s="8" t="s">
        <v>70</v>
      </c>
      <c r="D16" s="8">
        <v>250.0</v>
      </c>
      <c r="E16" s="8">
        <v>20.0</v>
      </c>
      <c r="F16" s="8" t="s">
        <v>20</v>
      </c>
      <c r="G16" s="9" t="str">
        <f t="shared" si="1"/>
        <v>Standard Price</v>
      </c>
      <c r="H16" s="9" t="str">
        <f t="shared" si="2"/>
        <v>16</v>
      </c>
      <c r="I16" s="9" t="str">
        <f t="shared" si="3"/>
        <v>ES</v>
      </c>
      <c r="J16" s="12" t="str">
        <f t="shared" si="4"/>
        <v>APR</v>
      </c>
    </row>
    <row r="17">
      <c r="A17" s="11" t="s">
        <v>71</v>
      </c>
      <c r="B17" s="11" t="s">
        <v>72</v>
      </c>
      <c r="C17" s="11" t="s">
        <v>73</v>
      </c>
      <c r="D17" s="11">
        <v>50.0</v>
      </c>
      <c r="E17" s="11">
        <v>35.0</v>
      </c>
      <c r="F17" s="11" t="s">
        <v>74</v>
      </c>
      <c r="G17" s="9" t="str">
        <f t="shared" si="1"/>
        <v>Standard Price</v>
      </c>
      <c r="H17" s="9" t="str">
        <f t="shared" si="2"/>
        <v>21</v>
      </c>
      <c r="I17" s="9" t="str">
        <f t="shared" si="3"/>
        <v>CA</v>
      </c>
      <c r="J17" s="12" t="str">
        <f t="shared" si="4"/>
        <v>AUG</v>
      </c>
    </row>
    <row r="18">
      <c r="A18" s="8" t="s">
        <v>75</v>
      </c>
      <c r="B18" s="8" t="s">
        <v>67</v>
      </c>
      <c r="C18" s="8" t="s">
        <v>76</v>
      </c>
      <c r="D18" s="8">
        <v>160.0</v>
      </c>
      <c r="E18" s="8">
        <v>15.0</v>
      </c>
      <c r="F18" s="8" t="s">
        <v>20</v>
      </c>
      <c r="G18" s="9" t="str">
        <f t="shared" si="1"/>
        <v>Standard Price</v>
      </c>
      <c r="H18" s="9" t="str">
        <f t="shared" si="2"/>
        <v>20</v>
      </c>
      <c r="I18" s="9" t="str">
        <f t="shared" si="3"/>
        <v>CN</v>
      </c>
      <c r="J18" s="12" t="str">
        <f t="shared" si="4"/>
        <v>AUG</v>
      </c>
    </row>
    <row r="19">
      <c r="A19" s="11" t="s">
        <v>77</v>
      </c>
      <c r="B19" s="11" t="s">
        <v>18</v>
      </c>
      <c r="C19" s="11" t="s">
        <v>78</v>
      </c>
      <c r="D19" s="11">
        <v>980.0</v>
      </c>
      <c r="E19" s="11">
        <v>10.0</v>
      </c>
      <c r="F19" s="11" t="s">
        <v>20</v>
      </c>
      <c r="G19" s="9" t="str">
        <f t="shared" si="1"/>
        <v>High Price</v>
      </c>
      <c r="H19" s="9" t="str">
        <f t="shared" si="2"/>
        <v>27</v>
      </c>
      <c r="I19" s="9" t="str">
        <f t="shared" si="3"/>
        <v>IT</v>
      </c>
      <c r="J19" s="12" t="str">
        <f t="shared" si="4"/>
        <v>JAN</v>
      </c>
    </row>
    <row r="20">
      <c r="A20" s="8" t="s">
        <v>79</v>
      </c>
      <c r="B20" s="8" t="s">
        <v>80</v>
      </c>
      <c r="C20" s="8" t="s">
        <v>81</v>
      </c>
      <c r="D20" s="8">
        <v>150.0</v>
      </c>
      <c r="E20" s="8">
        <v>15.0</v>
      </c>
      <c r="F20" s="8" t="s">
        <v>29</v>
      </c>
      <c r="G20" s="9" t="str">
        <f t="shared" si="1"/>
        <v>Standard Price</v>
      </c>
      <c r="H20" s="9" t="str">
        <f t="shared" si="2"/>
        <v>01</v>
      </c>
      <c r="I20" s="9" t="str">
        <f t="shared" si="3"/>
        <v>UK</v>
      </c>
      <c r="J20" s="12" t="str">
        <f t="shared" si="4"/>
        <v>MAR</v>
      </c>
    </row>
    <row r="21">
      <c r="A21" s="11" t="s">
        <v>82</v>
      </c>
      <c r="B21" s="11" t="s">
        <v>83</v>
      </c>
      <c r="C21" s="11" t="s">
        <v>84</v>
      </c>
      <c r="D21" s="11">
        <v>200.0</v>
      </c>
      <c r="E21" s="11">
        <v>10.0</v>
      </c>
      <c r="F21" s="11" t="s">
        <v>44</v>
      </c>
      <c r="G21" s="9" t="str">
        <f t="shared" si="1"/>
        <v>Standard Price</v>
      </c>
      <c r="H21" s="9" t="str">
        <f t="shared" si="2"/>
        <v>14</v>
      </c>
      <c r="I21" s="9" t="str">
        <f t="shared" si="3"/>
        <v>US</v>
      </c>
      <c r="J21" s="12" t="str">
        <f t="shared" si="4"/>
        <v>AUG</v>
      </c>
    </row>
    <row r="22">
      <c r="A22" s="8" t="s">
        <v>85</v>
      </c>
      <c r="B22" s="8" t="s">
        <v>86</v>
      </c>
      <c r="C22" s="8" t="s">
        <v>87</v>
      </c>
      <c r="D22" s="8">
        <v>700.0</v>
      </c>
      <c r="E22" s="8">
        <v>50.0</v>
      </c>
      <c r="F22" s="8" t="s">
        <v>20</v>
      </c>
      <c r="G22" s="9" t="str">
        <f t="shared" si="1"/>
        <v>High Price</v>
      </c>
      <c r="H22" s="9" t="str">
        <f t="shared" si="2"/>
        <v>14</v>
      </c>
      <c r="I22" s="9" t="str">
        <f t="shared" si="3"/>
        <v>RU</v>
      </c>
      <c r="J22" s="12" t="str">
        <f t="shared" si="4"/>
        <v>MAY</v>
      </c>
    </row>
    <row r="23">
      <c r="A23" s="11" t="s">
        <v>88</v>
      </c>
      <c r="B23" s="11" t="s">
        <v>89</v>
      </c>
      <c r="C23" s="11" t="s">
        <v>90</v>
      </c>
      <c r="D23" s="11">
        <v>80.0</v>
      </c>
      <c r="E23" s="11">
        <v>20.0</v>
      </c>
      <c r="F23" s="11" t="s">
        <v>34</v>
      </c>
      <c r="G23" s="9" t="str">
        <f t="shared" si="1"/>
        <v>Standard Price</v>
      </c>
      <c r="H23" s="9" t="str">
        <f t="shared" si="2"/>
        <v>09</v>
      </c>
      <c r="I23" s="9" t="str">
        <f t="shared" si="3"/>
        <v>CA</v>
      </c>
      <c r="J23" s="12" t="str">
        <f t="shared" si="4"/>
        <v>JAN</v>
      </c>
    </row>
    <row r="24">
      <c r="A24" s="8" t="s">
        <v>91</v>
      </c>
      <c r="B24" s="8" t="s">
        <v>92</v>
      </c>
      <c r="C24" s="8" t="s">
        <v>93</v>
      </c>
      <c r="D24" s="8">
        <v>150.0</v>
      </c>
      <c r="E24" s="8">
        <v>30.0</v>
      </c>
      <c r="F24" s="8" t="s">
        <v>20</v>
      </c>
      <c r="G24" s="9" t="str">
        <f t="shared" si="1"/>
        <v>Standard Price</v>
      </c>
      <c r="H24" s="9" t="str">
        <f t="shared" si="2"/>
        <v>19</v>
      </c>
      <c r="I24" s="9" t="str">
        <f t="shared" si="3"/>
        <v>BR</v>
      </c>
      <c r="J24" s="12" t="str">
        <f t="shared" si="4"/>
        <v>JUL</v>
      </c>
    </row>
    <row r="25">
      <c r="A25" s="11" t="s">
        <v>71</v>
      </c>
      <c r="B25" s="11" t="s">
        <v>72</v>
      </c>
      <c r="C25" s="11" t="s">
        <v>73</v>
      </c>
      <c r="D25" s="11">
        <v>50.0</v>
      </c>
      <c r="E25" s="11">
        <v>35.0</v>
      </c>
      <c r="F25" s="11" t="s">
        <v>74</v>
      </c>
      <c r="G25" s="9" t="str">
        <f t="shared" si="1"/>
        <v>Standard Price</v>
      </c>
      <c r="H25" s="9" t="str">
        <f t="shared" si="2"/>
        <v>21</v>
      </c>
      <c r="I25" s="9" t="str">
        <f t="shared" si="3"/>
        <v>CA</v>
      </c>
      <c r="J25" s="12" t="str">
        <f t="shared" si="4"/>
        <v>AUG</v>
      </c>
    </row>
    <row r="26">
      <c r="A26" s="8" t="s">
        <v>94</v>
      </c>
      <c r="B26" s="8" t="s">
        <v>37</v>
      </c>
      <c r="C26" s="8" t="s">
        <v>95</v>
      </c>
      <c r="D26" s="8">
        <v>800.0</v>
      </c>
      <c r="E26" s="8">
        <v>45.0</v>
      </c>
      <c r="F26" s="8" t="s">
        <v>20</v>
      </c>
      <c r="G26" s="9" t="str">
        <f t="shared" si="1"/>
        <v>High Price</v>
      </c>
      <c r="H26" s="9" t="str">
        <f t="shared" si="2"/>
        <v>29</v>
      </c>
      <c r="I26" s="9" t="str">
        <f t="shared" si="3"/>
        <v>CA</v>
      </c>
      <c r="J26" s="12" t="str">
        <f t="shared" si="4"/>
        <v>SEP</v>
      </c>
    </row>
    <row r="27">
      <c r="A27" s="11" t="s">
        <v>96</v>
      </c>
      <c r="B27" s="11" t="s">
        <v>80</v>
      </c>
      <c r="C27" s="11" t="s">
        <v>97</v>
      </c>
      <c r="D27" s="11">
        <v>130.0</v>
      </c>
      <c r="E27" s="11">
        <v>25.0</v>
      </c>
      <c r="F27" s="11" t="s">
        <v>29</v>
      </c>
      <c r="G27" s="9" t="str">
        <f t="shared" si="1"/>
        <v>Standard Price</v>
      </c>
      <c r="H27" s="9" t="str">
        <f t="shared" si="2"/>
        <v>03</v>
      </c>
      <c r="I27" s="9" t="str">
        <f t="shared" si="3"/>
        <v>CA</v>
      </c>
      <c r="J27" s="12" t="str">
        <f t="shared" si="4"/>
        <v>JUN</v>
      </c>
      <c r="K27" s="12" t="s">
        <v>98</v>
      </c>
      <c r="L27" s="13">
        <f>SUM(D2:D35)</f>
        <v>10100</v>
      </c>
    </row>
    <row r="28">
      <c r="A28" s="8" t="s">
        <v>99</v>
      </c>
      <c r="B28" s="8" t="s">
        <v>53</v>
      </c>
      <c r="C28" s="8" t="s">
        <v>100</v>
      </c>
      <c r="D28" s="8">
        <v>400.0</v>
      </c>
      <c r="E28" s="8">
        <v>40.0</v>
      </c>
      <c r="F28" s="8" t="s">
        <v>34</v>
      </c>
      <c r="G28" s="9" t="str">
        <f t="shared" si="1"/>
        <v>Standard Price</v>
      </c>
      <c r="H28" s="9" t="str">
        <f t="shared" si="2"/>
        <v>11</v>
      </c>
      <c r="I28" s="9" t="str">
        <f t="shared" si="3"/>
        <v>CA</v>
      </c>
      <c r="J28" s="12" t="str">
        <f t="shared" si="4"/>
        <v>JUL</v>
      </c>
      <c r="K28" s="13" t="s">
        <v>101</v>
      </c>
      <c r="L28" s="13">
        <f>COUNTA(B2:B35)</f>
        <v>34</v>
      </c>
    </row>
    <row r="29">
      <c r="A29" s="11" t="s">
        <v>69</v>
      </c>
      <c r="B29" s="11" t="s">
        <v>47</v>
      </c>
      <c r="C29" s="11" t="s">
        <v>70</v>
      </c>
      <c r="D29" s="11">
        <v>230.0</v>
      </c>
      <c r="E29" s="11">
        <v>20.0</v>
      </c>
      <c r="F29" s="11" t="s">
        <v>20</v>
      </c>
      <c r="G29" s="9" t="str">
        <f t="shared" si="1"/>
        <v>Standard Price</v>
      </c>
      <c r="H29" s="9" t="str">
        <f t="shared" si="2"/>
        <v>16</v>
      </c>
      <c r="I29" s="9" t="str">
        <f t="shared" si="3"/>
        <v>ES</v>
      </c>
      <c r="J29" s="12" t="str">
        <f t="shared" si="4"/>
        <v>APR</v>
      </c>
      <c r="K29" s="9" t="s">
        <v>102</v>
      </c>
      <c r="L29" s="13">
        <f>AVERAGE(D2:D35)</f>
        <v>297.0588235</v>
      </c>
    </row>
    <row r="30">
      <c r="A30" s="8" t="s">
        <v>103</v>
      </c>
      <c r="B30" s="8" t="s">
        <v>104</v>
      </c>
      <c r="C30" s="8" t="s">
        <v>105</v>
      </c>
      <c r="D30" s="8">
        <v>60.0</v>
      </c>
      <c r="E30" s="8">
        <v>30.0</v>
      </c>
      <c r="F30" s="8" t="s">
        <v>29</v>
      </c>
      <c r="G30" s="9" t="str">
        <f t="shared" si="1"/>
        <v>Standard Price</v>
      </c>
      <c r="H30" s="9" t="str">
        <f t="shared" si="2"/>
        <v>07</v>
      </c>
      <c r="I30" s="9" t="str">
        <f t="shared" si="3"/>
        <v>CA</v>
      </c>
      <c r="J30" s="12" t="str">
        <f t="shared" si="4"/>
        <v>MAR</v>
      </c>
    </row>
    <row r="31">
      <c r="A31" s="11" t="s">
        <v>106</v>
      </c>
      <c r="B31" s="11" t="s">
        <v>107</v>
      </c>
      <c r="C31" s="11" t="s">
        <v>108</v>
      </c>
      <c r="D31" s="11">
        <v>40.0</v>
      </c>
      <c r="E31" s="11">
        <v>10.0</v>
      </c>
      <c r="F31" s="11" t="s">
        <v>34</v>
      </c>
      <c r="G31" s="9" t="str">
        <f t="shared" si="1"/>
        <v>Standard Price</v>
      </c>
      <c r="H31" s="9" t="str">
        <f t="shared" si="2"/>
        <v>13</v>
      </c>
      <c r="I31" s="9" t="str">
        <f t="shared" si="3"/>
        <v>CA</v>
      </c>
      <c r="J31" s="12" t="str">
        <f t="shared" si="4"/>
        <v>APR</v>
      </c>
      <c r="K31" s="12" t="s">
        <v>109</v>
      </c>
      <c r="L31" s="13">
        <f>MAX(D2:D35)</f>
        <v>1000</v>
      </c>
    </row>
    <row r="32">
      <c r="A32" s="8" t="s">
        <v>110</v>
      </c>
      <c r="B32" s="8" t="s">
        <v>92</v>
      </c>
      <c r="C32" s="8" t="s">
        <v>111</v>
      </c>
      <c r="D32" s="8">
        <v>130.0</v>
      </c>
      <c r="E32" s="8">
        <v>5.0</v>
      </c>
      <c r="F32" s="8" t="s">
        <v>20</v>
      </c>
      <c r="G32" s="9" t="str">
        <f t="shared" si="1"/>
        <v>Standard Price</v>
      </c>
      <c r="H32" s="9" t="str">
        <f t="shared" si="2"/>
        <v>24</v>
      </c>
      <c r="I32" s="9" t="str">
        <f t="shared" si="3"/>
        <v>CA</v>
      </c>
      <c r="J32" s="12" t="str">
        <f t="shared" si="4"/>
        <v>MAY</v>
      </c>
      <c r="K32" s="12" t="s">
        <v>112</v>
      </c>
      <c r="L32" s="13">
        <f>MIN(D2:D35)</f>
        <v>30</v>
      </c>
    </row>
    <row r="33">
      <c r="A33" s="11" t="s">
        <v>113</v>
      </c>
      <c r="B33" s="11" t="s">
        <v>114</v>
      </c>
      <c r="C33" s="11" t="s">
        <v>115</v>
      </c>
      <c r="D33" s="11">
        <v>50.0</v>
      </c>
      <c r="E33" s="11">
        <v>50.0</v>
      </c>
      <c r="F33" s="11" t="s">
        <v>29</v>
      </c>
      <c r="G33" s="9" t="str">
        <f t="shared" si="1"/>
        <v>Standard Price</v>
      </c>
      <c r="H33" s="9" t="str">
        <f t="shared" si="2"/>
        <v>02</v>
      </c>
      <c r="I33" s="9" t="str">
        <f t="shared" si="3"/>
        <v>CA</v>
      </c>
      <c r="J33" s="12" t="str">
        <f t="shared" si="4"/>
        <v>DEC</v>
      </c>
    </row>
    <row r="34">
      <c r="A34" s="8" t="s">
        <v>61</v>
      </c>
      <c r="B34" s="8" t="s">
        <v>18</v>
      </c>
      <c r="C34" s="8" t="s">
        <v>62</v>
      </c>
      <c r="D34" s="8">
        <v>950.0</v>
      </c>
      <c r="E34" s="8">
        <v>25.0</v>
      </c>
      <c r="F34" s="8" t="s">
        <v>20</v>
      </c>
      <c r="G34" s="9" t="str">
        <f t="shared" si="1"/>
        <v>High Price</v>
      </c>
      <c r="H34" s="9" t="str">
        <f t="shared" si="2"/>
        <v>17</v>
      </c>
      <c r="I34" s="9" t="str">
        <f t="shared" si="3"/>
        <v>IN</v>
      </c>
      <c r="J34" s="12" t="str">
        <f t="shared" si="4"/>
        <v>JUN</v>
      </c>
      <c r="K34" s="12" t="s">
        <v>116</v>
      </c>
      <c r="L34" s="9">
        <f>COUNTIF(D2:D35, "&lt;100")</f>
        <v>11</v>
      </c>
    </row>
    <row r="35">
      <c r="A35" s="11" t="s">
        <v>117</v>
      </c>
      <c r="B35" s="11" t="s">
        <v>118</v>
      </c>
      <c r="C35" s="11" t="s">
        <v>119</v>
      </c>
      <c r="D35" s="11">
        <v>100.0</v>
      </c>
      <c r="E35" s="11">
        <v>20.0</v>
      </c>
      <c r="F35" s="11" t="s">
        <v>74</v>
      </c>
      <c r="G35" s="9" t="str">
        <f t="shared" si="1"/>
        <v>Standard Price</v>
      </c>
      <c r="H35" s="9" t="str">
        <f t="shared" si="2"/>
        <v>09</v>
      </c>
      <c r="I35" s="9" t="str">
        <f t="shared" si="3"/>
        <v>FR</v>
      </c>
      <c r="J35" s="12" t="str">
        <f t="shared" si="4"/>
        <v>JUL</v>
      </c>
      <c r="K35" s="9" t="s">
        <v>120</v>
      </c>
      <c r="L35" s="9">
        <f>SUMIF(F2:F35, "Electronics", D2:D35)</f>
        <v>8050</v>
      </c>
    </row>
  </sheetData>
  <drawing r:id="rId1"/>
</worksheet>
</file>